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filterPrivacy="1" defaultThemeVersion="124226"/>
  <xr:revisionPtr revIDLastSave="0" documentId="11_D567CB0F7630F83B1387B0238E88E711D7E90AF6" xr6:coauthVersionLast="47" xr6:coauthVersionMax="47" xr10:uidLastSave="{00000000-0000-0000-0000-000000000000}"/>
  <bookViews>
    <workbookView xWindow="0" yWindow="0" windowWidth="28800" windowHeight="12150" xr2:uid="{00000000-000D-0000-FFFF-FFFF00000000}"/>
  </bookViews>
  <sheets>
    <sheet name="AddressProfilingResults" sheetId="1" r:id="rId1"/>
    <sheet name="AdditionalCharts" sheetId="2" r:id="rId2"/>
  </sheets>
  <definedNames>
    <definedName name="_xlnm._FilterDatabase" localSheetId="0" hidden="1">AddressProfilingResults!$A$8:$F$8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2" l="1"/>
  <c r="C5" i="2"/>
  <c r="C6" i="2"/>
  <c r="C7" i="2"/>
  <c r="C8" i="2"/>
  <c r="C9" i="2"/>
  <c r="C4" i="2"/>
  <c r="C11" i="2" l="1"/>
  <c r="D5" i="2" s="1"/>
  <c r="E5" i="2" s="1"/>
  <c r="D8" i="2" l="1"/>
  <c r="E8" i="2" s="1"/>
  <c r="D4" i="2"/>
  <c r="E4" i="2" s="1"/>
  <c r="D9" i="2"/>
  <c r="E9" i="2" s="1"/>
  <c r="D6" i="2"/>
  <c r="E6" i="2" s="1"/>
  <c r="D10" i="2"/>
  <c r="E10" i="2" s="1"/>
  <c r="D7" i="2"/>
  <c r="E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O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based on 2017 BEIS fuel CO2 factors used widely in funding applications etc</t>
        </r>
      </text>
    </comment>
    <comment ref="P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Based on fuel CO2 factors from the consultation version of SAP 10.1</t>
        </r>
      </text>
    </comment>
    <comment ref="U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This uses typical weather data for the UK. See columns to the right for results of calculations using regional weather data.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Overheating risk:
&lt;20.5ºC: minimal
20.5-21.99ºC: slight risk
22.0-23.49ºC: medium risk
23.5ºC+: high risk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RdSAP 993 was introduced on 20/11/2017, and notably included revised U-Values for walls of older buildings. We still calculate RdSAP 992 for interest so you can see how the change in the methodology has affected your housing profile</t>
        </r>
      </text>
    </comment>
  </commentList>
</comments>
</file>

<file path=xl/sharedStrings.xml><?xml version="1.0" encoding="utf-8"?>
<sst xmlns="http://schemas.openxmlformats.org/spreadsheetml/2006/main" count="97" uniqueCount="89">
  <si>
    <t>Report:</t>
  </si>
  <si>
    <t>Address Profiling results</t>
  </si>
  <si>
    <t>Datestamp:</t>
  </si>
  <si>
    <t>Produced by:</t>
  </si>
  <si>
    <t>Clarion</t>
  </si>
  <si>
    <t>Filters:</t>
  </si>
  <si>
    <t>Organisation:</t>
  </si>
  <si>
    <t>Address count:</t>
  </si>
  <si>
    <t>The list below contains XXX of the XXXXXX addresses in the organisation</t>
  </si>
  <si>
    <t>Energy Profiling</t>
  </si>
  <si>
    <t>Lodged EPC scores</t>
  </si>
  <si>
    <t>Housing Profiling</t>
  </si>
  <si>
    <t>Confidence</t>
  </si>
  <si>
    <t>Other Costs/Metrics (Regional Weather Data)</t>
  </si>
  <si>
    <t>OrganisationReference</t>
  </si>
  <si>
    <t>Alternate Organisation Reference</t>
  </si>
  <si>
    <t>Address</t>
  </si>
  <si>
    <t>PostCode</t>
  </si>
  <si>
    <t>Borough</t>
  </si>
  <si>
    <t>AddressId</t>
  </si>
  <si>
    <t>Address Groups</t>
  </si>
  <si>
    <t>SAP</t>
  </si>
  <si>
    <t>EI</t>
  </si>
  <si>
    <t>Fuel Bills (£/yr)</t>
  </si>
  <si>
    <t>Realistic Fuel Bill (Regional)</t>
  </si>
  <si>
    <r>
      <t>tCO</t>
    </r>
    <r>
      <rPr>
        <b/>
        <vertAlign val="subscript"/>
        <sz val="11"/>
        <color theme="0"/>
        <rFont val="Calibri"/>
        <family val="2"/>
        <scheme val="minor"/>
      </rPr>
      <t>2</t>
    </r>
  </si>
  <si>
    <t>tCO2 2017</t>
  </si>
  <si>
    <t>tCO2 SAP 10.1</t>
  </si>
  <si>
    <t>tCO2 2025</t>
  </si>
  <si>
    <t>tCO2 2035</t>
  </si>
  <si>
    <t>tCO2 2038</t>
  </si>
  <si>
    <t>tCO2 2050</t>
  </si>
  <si>
    <t>Heating Cost (£/yr)</t>
  </si>
  <si>
    <t>T Threshold (ºC)</t>
  </si>
  <si>
    <t>SAP (9.92)</t>
  </si>
  <si>
    <t>Lodgement Date</t>
  </si>
  <si>
    <t>SAP version</t>
  </si>
  <si>
    <t>Age</t>
  </si>
  <si>
    <t>Property Type</t>
  </si>
  <si>
    <t>Walls</t>
  </si>
  <si>
    <t>Roofs</t>
  </si>
  <si>
    <t>Glazing</t>
  </si>
  <si>
    <t>Heating</t>
  </si>
  <si>
    <t>Main Fuel</t>
  </si>
  <si>
    <t>Average</t>
  </si>
  <si>
    <t>Built Form</t>
  </si>
  <si>
    <t>Roof</t>
  </si>
  <si>
    <t>Lighting</t>
  </si>
  <si>
    <t>Main Heating</t>
  </si>
  <si>
    <t>Floors</t>
  </si>
  <si>
    <t>Controls</t>
  </si>
  <si>
    <t>Secondary Heating</t>
  </si>
  <si>
    <t>Water Heating</t>
  </si>
  <si>
    <t>Dimensions</t>
  </si>
  <si>
    <t>Doors</t>
  </si>
  <si>
    <t>Windows</t>
  </si>
  <si>
    <t>Renewables</t>
  </si>
  <si>
    <t>Ventilation</t>
  </si>
  <si>
    <t>Room in Roof</t>
  </si>
  <si>
    <t>Other</t>
  </si>
  <si>
    <t>Non RdSAP</t>
  </si>
  <si>
    <t>Heating, No Hot Water Cost (£/yr)</t>
  </si>
  <si>
    <t>Water Heating Cost (£/yr)</t>
  </si>
  <si>
    <t>Lighting Cost (£/yr)</t>
  </si>
  <si>
    <t>kWh</t>
  </si>
  <si>
    <t>kWh/m2</t>
  </si>
  <si>
    <t>kWh/m2 heating demand</t>
  </si>
  <si>
    <t>Heat Loss Coefficient (W/°C)</t>
  </si>
  <si>
    <t>U1234567</t>
  </si>
  <si>
    <t>YY1234567</t>
  </si>
  <si>
    <t>1 York Street, York</t>
  </si>
  <si>
    <t>YY1 1YY</t>
  </si>
  <si>
    <t>York</t>
  </si>
  <si>
    <t>#AgeBand - 1976-1982 (F),#Confidence - Average7,#Confidence - Floor=&lt;5,#Controls - Programmers,#Controls - Thermostats,#EPC Reason - Social Rental,#EveryAddress,#Floors - SuspendedTimberAsBuiltBefore1991,#HotWater - FromMainSystem,#MainHeatingCategory - Boilers,#MainHeatingFuel - MainsGasAvailable,#MainHeatingFuel - MainsGasNotCommunity,#PropertyType - ConservationAreaUnknown,#PropertyType - Houses,#PropertyType - HousesAndBungalowsTerraced,#PropertyType - ListingUnknown,#Rand4,#Roof - PitchedJoists&lt;150mm,#Roof - PitchedJoists&lt;270mm,#Roof - RoofPresent,#SAPRating - C,#SecondaryHeating - Present,*Derby,AllClarion_North Region,Clarion8,GeneralNeeds&amp;Sheltered,Houses(FilteredSchemes),Lodged SAP - A,PreviouslyAffinitySuttonStock,SHDF_efficient heating</t>
  </si>
  <si>
    <t>C</t>
  </si>
  <si>
    <t>D</t>
  </si>
  <si>
    <t>F: 1976-1982</t>
  </si>
  <si>
    <t>House: EndTerrace</t>
  </si>
  <si>
    <t>Cavity: FilledCavity</t>
  </si>
  <si>
    <t>PitchedNormalLoftAccess: 100mm</t>
  </si>
  <si>
    <t>100% Double glazing 2002 or later</t>
  </si>
  <si>
    <t>Boiler: A rated Regular Boiler</t>
  </si>
  <si>
    <t>Gas: Mains Gas</t>
  </si>
  <si>
    <t>Number of properties by SAP Band</t>
  </si>
  <si>
    <t>A</t>
  </si>
  <si>
    <t>B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</si>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</sst>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£#,##0.00"/>
    <numFmt numFmtId="165" formatCode="#,##0.0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vertAlign val="subscript"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55A3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76765"/>
        <bgColor indexed="64"/>
      </patternFill>
    </fill>
    <fill>
      <patternFill patternType="solid">
        <fgColor rgb="FFE6970A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/>
      <top style="double">
        <color auto="1"/>
      </top>
      <bottom/>
      <diagonal/>
    </border>
    <border>
      <left style="medium">
        <color theme="0"/>
      </left>
      <right/>
      <top/>
      <bottom/>
      <diagonal/>
    </border>
  </borders>
  <cellStyleXfs count="1">
    <xf numFmtId="0" fontId="0" fillId="0" borderId="0" applyAlignment="0"/>
  </cellStyleXfs>
  <cellXfs count="35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left" vertical="top"/>
    </xf>
    <xf numFmtId="0" fontId="2" fillId="5" borderId="3" xfId="0" applyFont="1" applyFill="1" applyBorder="1" applyAlignment="1">
      <alignment horizontal="left" vertical="top"/>
    </xf>
    <xf numFmtId="0" fontId="2" fillId="6" borderId="3" xfId="0" applyFont="1" applyFill="1" applyBorder="1" applyAlignment="1">
      <alignment horizontal="left" vertical="top"/>
    </xf>
    <xf numFmtId="0" fontId="2" fillId="8" borderId="3" xfId="0" applyFont="1" applyFill="1" applyBorder="1" applyAlignment="1">
      <alignment horizontal="left" vertical="top"/>
    </xf>
    <xf numFmtId="0" fontId="2" fillId="9" borderId="3" xfId="0" applyFont="1" applyFill="1" applyBorder="1" applyAlignment="1">
      <alignment horizontal="left" vertical="top"/>
    </xf>
    <xf numFmtId="0" fontId="2" fillId="11" borderId="3" xfId="0" applyFont="1" applyFill="1" applyBorder="1" applyAlignment="1">
      <alignment horizontal="left" vertical="top"/>
    </xf>
    <xf numFmtId="10" fontId="0" fillId="0" borderId="0" xfId="0" applyNumberFormat="1"/>
    <xf numFmtId="0" fontId="1" fillId="0" borderId="7" xfId="0" applyFont="1" applyBorder="1"/>
    <xf numFmtId="0" fontId="2" fillId="7" borderId="3" xfId="0" applyFont="1" applyFill="1" applyBorder="1" applyAlignment="1">
      <alignment horizontal="left" vertical="top"/>
    </xf>
    <xf numFmtId="0" fontId="2" fillId="7" borderId="8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center" vertical="top"/>
    </xf>
    <xf numFmtId="22" fontId="0" fillId="0" borderId="1" xfId="0" applyNumberFormat="1" applyBorder="1" applyAlignment="1">
      <alignment horizontal="left"/>
    </xf>
    <xf numFmtId="22" fontId="0" fillId="0" borderId="0" xfId="0" applyNumberFormat="1" applyAlignment="1">
      <alignment horizontal="left"/>
    </xf>
    <xf numFmtId="0" fontId="0" fillId="0" borderId="1" xfId="0" applyBorder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2" fillId="3" borderId="4" xfId="0" applyFont="1" applyFill="1" applyBorder="1" applyAlignment="1">
      <alignment horizontal="center" vertical="top"/>
    </xf>
    <xf numFmtId="0" fontId="2" fillId="3" borderId="5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2" fillId="10" borderId="4" xfId="0" applyFont="1" applyFill="1" applyBorder="1" applyAlignment="1">
      <alignment horizontal="center" vertical="top"/>
    </xf>
    <xf numFmtId="0" fontId="2" fillId="10" borderId="5" xfId="0" applyFont="1" applyFill="1" applyBorder="1" applyAlignment="1">
      <alignment horizontal="center" vertical="top"/>
    </xf>
    <xf numFmtId="0" fontId="2" fillId="10" borderId="6" xfId="0" applyFont="1" applyFill="1" applyBorder="1" applyAlignment="1">
      <alignment horizontal="center" vertical="top"/>
    </xf>
    <xf numFmtId="0" fontId="2" fillId="7" borderId="4" xfId="0" applyFont="1" applyFill="1" applyBorder="1" applyAlignment="1">
      <alignment horizontal="center" vertical="top"/>
    </xf>
    <xf numFmtId="0" fontId="2" fillId="7" borderId="5" xfId="0" applyFont="1" applyFill="1" applyBorder="1" applyAlignment="1">
      <alignment horizontal="center" vertical="top"/>
    </xf>
    <xf numFmtId="0" fontId="2" fillId="7" borderId="6" xfId="0" applyFont="1" applyFill="1" applyBorder="1" applyAlignment="1">
      <alignment horizontal="center" vertical="top"/>
    </xf>
    <xf numFmtId="0" fontId="2" fillId="10" borderId="8" xfId="0" applyFont="1" applyFill="1" applyBorder="1" applyAlignment="1">
      <alignment horizontal="center" vertical="top"/>
    </xf>
    <xf numFmtId="0" fontId="2" fillId="10" borderId="0" xfId="0" applyFont="1" applyFill="1" applyAlignment="1">
      <alignment horizontal="center" vertical="top"/>
    </xf>
  </cellXfs>
  <cellStyles count="1">
    <cellStyle name="Normal" xfId="0" builtinId="0"/>
  </cellStyles>
  <dxfs count="21">
    <dxf>
      <font>
        <b/>
        <i val="0"/>
        <color rgb="FF0066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92D050"/>
      </font>
      <fill>
        <patternFill patternType="none">
          <bgColor auto="1"/>
        </patternFill>
      </fill>
    </dxf>
    <dxf>
      <font>
        <b/>
        <i val="0"/>
        <color rgb="FFCCCC00"/>
      </font>
      <fill>
        <patternFill patternType="none">
          <bgColor auto="1"/>
        </patternFill>
      </fill>
    </dxf>
    <dxf>
      <font>
        <b/>
        <i val="0"/>
        <color rgb="FFFFCC00"/>
      </font>
      <fill>
        <patternFill patternType="none">
          <bgColor auto="1"/>
        </patternFill>
      </fill>
    </dxf>
    <dxf>
      <font>
        <b/>
        <i val="0"/>
        <color rgb="FFFF9933"/>
      </font>
      <fill>
        <patternFill patternType="none">
          <bgColor auto="1"/>
        </patternFill>
      </fill>
    </dxf>
    <dxf>
      <font>
        <b/>
        <i val="0"/>
        <color rgb="FFCC6600"/>
      </font>
      <fill>
        <patternFill patternType="none">
          <bgColor auto="1"/>
        </patternFill>
      </fill>
    </dxf>
    <dxf>
      <font>
        <b/>
        <i val="0"/>
        <color rgb="FF3399FF"/>
      </font>
      <fill>
        <patternFill patternType="none">
          <bgColor auto="1"/>
        </patternFill>
      </fill>
    </dxf>
    <dxf>
      <font>
        <b/>
        <i val="0"/>
        <color rgb="FF0066FF"/>
      </font>
      <fill>
        <patternFill patternType="none">
          <bgColor auto="1"/>
        </patternFill>
      </fill>
    </dxf>
    <dxf>
      <font>
        <b/>
        <i val="0"/>
        <color rgb="FF0066CC"/>
      </font>
      <fill>
        <patternFill patternType="none">
          <bgColor auto="1"/>
        </patternFill>
      </fill>
    </dxf>
    <dxf>
      <font>
        <b/>
        <i val="0"/>
        <color rgb="FF003366"/>
      </font>
      <fill>
        <patternFill patternType="none">
          <bgColor auto="1"/>
        </patternFill>
      </fill>
    </dxf>
    <dxf>
      <font>
        <b/>
        <i val="0"/>
        <color theme="0" tint="-0.24994659260841701"/>
      </font>
      <fill>
        <patternFill patternType="none">
          <bgColor auto="1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</dxf>
    <dxf>
      <font>
        <b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  <color rgb="FF0066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92D050"/>
      </font>
      <fill>
        <patternFill patternType="none">
          <bgColor auto="1"/>
        </patternFill>
      </fill>
    </dxf>
    <dxf>
      <font>
        <b/>
        <i val="0"/>
        <color rgb="FFCCCC00"/>
      </font>
      <fill>
        <patternFill patternType="none">
          <bgColor auto="1"/>
        </patternFill>
      </fill>
    </dxf>
    <dxf>
      <font>
        <b/>
        <i val="0"/>
        <color rgb="FFFFCC00"/>
      </font>
      <fill>
        <patternFill patternType="none">
          <bgColor auto="1"/>
        </patternFill>
      </fill>
    </dxf>
    <dxf>
      <font>
        <b/>
        <i val="0"/>
        <color rgb="FFFF9933"/>
      </font>
      <fill>
        <patternFill patternType="none">
          <bgColor auto="1"/>
        </patternFill>
      </fill>
    </dxf>
    <dxf>
      <font>
        <b/>
        <i val="0"/>
        <color rgb="FFCC66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99FF33"/>
      <color rgb="FF008000"/>
      <color rgb="FF006600"/>
      <color rgb="FF0066CC"/>
      <color rgb="FF003366"/>
      <color rgb="FF3399FF"/>
      <color rgb="FF0066FF"/>
      <color rgb="FF0000FF"/>
      <color rgb="FF003399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 spcFirstLastPara="1" vertOverflow="ellipsis" vert="horz" wrap="square" rtlCol="0" anchor="ctr" anchorCtr="1"/>
          <a:lstStyle/>
          <a:p>
            <a:pPr lvl="0">
              <a:defRPr sz="1400" b="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0"/>
              <a:t>Properties per EPC band (CROHM calculated, 9.93/9.94)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8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D98-416B-A06E-D47DD9162BFD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D98-416B-A06E-D47DD9162BFD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D98-416B-A06E-D47DD9162BFD}"/>
              </c:ext>
            </c:extLst>
          </c:dPt>
          <c:dPt>
            <c:idx val="3"/>
            <c:invertIfNegative val="0"/>
            <c:bubble3D val="0"/>
            <c:spPr>
              <a:solidFill>
                <a:srgbClr val="99FF3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D98-416B-A06E-D47DD9162BFD}"/>
              </c:ext>
            </c:extLst>
          </c:dPt>
          <c:dPt>
            <c:idx val="4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D98-416B-A06E-D47DD9162BFD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D98-416B-A06E-D47DD9162BFD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D98-416B-A06E-D47DD9162BF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C72E04C-6058-4140-BDD3-0573ADB420D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D98-416B-A06E-D47DD9162BF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C939744-8934-429A-974E-EC61AA420EF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D98-416B-A06E-D47DD9162BF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BE550F2-D587-4AF6-854C-A5196B74421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D98-416B-A06E-D47DD9162BF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A0252F1-45B9-407B-BAC7-A9A0BEF2E3F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D98-416B-A06E-D47DD9162BF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267AC51-D645-430A-BB63-6BA15833DBF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D98-416B-A06E-D47DD9162BF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E14F43F-3D55-460D-8C7D-B5AC3507A71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D98-416B-A06E-D47DD9162BF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A95AC52-A004-4646-A18B-D61CB6BC022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D98-416B-A06E-D47DD9162B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rtlCol="0" anchor="ctr" anchorCtr="1">
                <a:spAutoFit/>
              </a:bodyPr>
              <a:lstStyle/>
              <a:p>
                <a:pPr lvl="0">
                  <a:defRPr sz="1200" b="1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AdditionalCharts!$B$4:$B$10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AdditionalCharts!$C$4:$C$10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AdditionalCharts!$E$4:$E$10</c15:f>
                <c15:dlblRangeCache>
                  <c:ptCount val="7"/>
                  <c:pt idx="0">
                    <c:v>0 (0.00%)</c:v>
                  </c:pt>
                  <c:pt idx="1">
                    <c:v>0 (0.00%)</c:v>
                  </c:pt>
                  <c:pt idx="2">
                    <c:v>1 (100.00%)</c:v>
                  </c:pt>
                  <c:pt idx="3">
                    <c:v>0 (0.00%)</c:v>
                  </c:pt>
                  <c:pt idx="4">
                    <c:v>0 (0.00%)</c:v>
                  </c:pt>
                  <c:pt idx="5">
                    <c:v>0 (0.00%)</c:v>
                  </c:pt>
                  <c:pt idx="6">
                    <c:v>0 (0.00%)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D98-416B-A06E-D47DD9162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714655104"/>
        <c:axId val="714650512"/>
      </c:barChart>
      <c:catAx>
        <c:axId val="7146551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rtlCol="0" anchor="ctr" anchorCtr="1"/>
          <a:lstStyle/>
          <a:p>
            <a:pPr lvl="0">
              <a:defRPr sz="900" b="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650512"/>
        <c:crosses val="autoZero"/>
        <c:auto val="1"/>
        <c:lblAlgn val="ctr"/>
        <c:lblOffset val="100"/>
        <c:noMultiLvlLbl val="0"/>
      </c:catAx>
      <c:valAx>
        <c:axId val="714650512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71465510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 rot="0" vertOverflow="overflow" vert="horz" rtlCol="0" anchor="t"/>
    <a:lstStyle/>
    <a:p>
      <a:pPr lvl="0">
        <a:defRPr b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1524000</xdr:colOff>
      <xdr:row>9</xdr:row>
      <xdr:rowOff>0</xdr:rowOff>
    </xdr:to>
    <xdr:sp macro="" textlink="">
      <xdr:nvSpPr>
        <xdr:cNvPr id="1030" name="202" hidden="1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485774</xdr:colOff>
      <xdr:row>1</xdr:row>
      <xdr:rowOff>4762</xdr:rowOff>
    </xdr:from>
    <xdr:to>
      <xdr:col>14</xdr:col>
      <xdr:colOff>171449</xdr:colOff>
      <xdr:row>15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B8D668-FD58-423A-B8D6-410C01F0E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"/>
  <sheetViews>
    <sheetView tabSelected="1" zoomScale="70" zoomScaleNormal="70" workbookViewId="0">
      <selection activeCell="F17" sqref="F17"/>
    </sheetView>
  </sheetViews>
  <sheetFormatPr defaultRowHeight="15"/>
  <cols>
    <col min="1" max="1" width="28.7109375" bestFit="1" customWidth="1"/>
    <col min="2" max="2" width="71.7109375" bestFit="1" customWidth="1"/>
    <col min="3" max="3" width="33" bestFit="1" customWidth="1"/>
    <col min="4" max="5" width="13.5703125" customWidth="1"/>
    <col min="6" max="6" width="18.85546875" customWidth="1"/>
    <col min="7" max="7" width="31.140625" customWidth="1"/>
    <col min="8" max="8" width="13.140625" customWidth="1"/>
    <col min="9" max="9" width="3.7109375" style="1" customWidth="1"/>
    <col min="10" max="10" width="13.140625" customWidth="1"/>
    <col min="11" max="11" width="3.7109375" style="1" customWidth="1"/>
    <col min="12" max="12" width="18.28515625" customWidth="1"/>
    <col min="13" max="13" width="33.85546875" customWidth="1"/>
    <col min="14" max="16" width="13.140625" customWidth="1"/>
    <col min="17" max="17" width="13.7109375" customWidth="1"/>
    <col min="18" max="18" width="14.140625" customWidth="1"/>
    <col min="19" max="19" width="14.7109375" customWidth="1"/>
    <col min="20" max="20" width="13.5703125" customWidth="1"/>
    <col min="21" max="23" width="13.140625" customWidth="1"/>
    <col min="24" max="24" width="3.7109375" style="1" customWidth="1"/>
    <col min="25" max="25" width="12.140625" customWidth="1"/>
    <col min="26" max="26" width="3.5703125" style="1" customWidth="1"/>
    <col min="27" max="27" width="20.5703125" bestFit="1" customWidth="1"/>
    <col min="28" max="28" width="12.5703125" customWidth="1"/>
    <col min="29" max="35" width="20.140625" customWidth="1"/>
    <col min="36" max="54" width="11.5703125" customWidth="1"/>
    <col min="55" max="55" width="39.7109375" bestFit="1" customWidth="1"/>
    <col min="56" max="56" width="30.28515625" bestFit="1" customWidth="1"/>
    <col min="57" max="57" width="23.42578125" bestFit="1" customWidth="1"/>
    <col min="59" max="59" width="10.5703125" bestFit="1" customWidth="1"/>
    <col min="60" max="60" width="30" bestFit="1" customWidth="1"/>
    <col min="61" max="61" width="34.28515625" bestFit="1" customWidth="1"/>
  </cols>
  <sheetData>
    <row r="1" spans="1:61">
      <c r="A1" t="s">
        <v>0</v>
      </c>
      <c r="B1" s="1" t="s">
        <v>1</v>
      </c>
      <c r="D1" s="1"/>
      <c r="E1" s="1"/>
      <c r="F1" s="1"/>
      <c r="G1" s="1"/>
    </row>
    <row r="2" spans="1:61">
      <c r="A2" t="s">
        <v>2</v>
      </c>
      <c r="B2" s="16">
        <v>36526</v>
      </c>
      <c r="D2" s="17"/>
      <c r="E2" s="17"/>
      <c r="F2" s="17"/>
      <c r="G2" s="17"/>
    </row>
    <row r="3" spans="1:61">
      <c r="A3" t="s">
        <v>3</v>
      </c>
      <c r="B3" s="18" t="s">
        <v>4</v>
      </c>
    </row>
    <row r="4" spans="1:61">
      <c r="A4" t="s">
        <v>5</v>
      </c>
      <c r="B4" s="18"/>
    </row>
    <row r="5" spans="1:61">
      <c r="A5" t="s">
        <v>6</v>
      </c>
      <c r="B5" s="18" t="s">
        <v>4</v>
      </c>
    </row>
    <row r="6" spans="1:61">
      <c r="A6" t="s">
        <v>7</v>
      </c>
      <c r="B6" s="18" t="s">
        <v>8</v>
      </c>
    </row>
    <row r="7" spans="1:61" ht="15" customHeight="1" thickBot="1">
      <c r="H7" s="25" t="s">
        <v>9</v>
      </c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15"/>
      <c r="Y7" s="27" t="s">
        <v>10</v>
      </c>
      <c r="Z7" s="28"/>
      <c r="AA7" s="28"/>
      <c r="AB7" s="29"/>
      <c r="AC7" s="23" t="s">
        <v>11</v>
      </c>
      <c r="AD7" s="24"/>
      <c r="AE7" s="24"/>
      <c r="AF7" s="24"/>
      <c r="AG7" s="24"/>
      <c r="AH7" s="24"/>
      <c r="AI7" s="24"/>
      <c r="AJ7" s="30" t="s">
        <v>12</v>
      </c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2"/>
      <c r="BC7" s="33" t="s">
        <v>13</v>
      </c>
      <c r="BD7" s="34"/>
      <c r="BE7" s="34"/>
      <c r="BF7" s="34"/>
      <c r="BG7" s="34"/>
      <c r="BH7" s="34"/>
      <c r="BI7" s="34"/>
    </row>
    <row r="8" spans="1:61" ht="18">
      <c r="A8" s="2" t="s">
        <v>14</v>
      </c>
      <c r="B8" s="2" t="s">
        <v>15</v>
      </c>
      <c r="C8" s="3" t="s">
        <v>16</v>
      </c>
      <c r="D8" s="3" t="s">
        <v>17</v>
      </c>
      <c r="E8" s="3" t="s">
        <v>18</v>
      </c>
      <c r="F8" s="3" t="s">
        <v>19</v>
      </c>
      <c r="G8" s="3" t="s">
        <v>20</v>
      </c>
      <c r="H8" s="7" t="s">
        <v>21</v>
      </c>
      <c r="I8" s="7"/>
      <c r="J8" s="4" t="s">
        <v>22</v>
      </c>
      <c r="K8" s="4"/>
      <c r="L8" s="5" t="s">
        <v>23</v>
      </c>
      <c r="M8" s="5" t="s">
        <v>24</v>
      </c>
      <c r="N8" s="6" t="s">
        <v>25</v>
      </c>
      <c r="O8" s="6" t="s">
        <v>26</v>
      </c>
      <c r="P8" s="6" t="s">
        <v>27</v>
      </c>
      <c r="Q8" s="6" t="s">
        <v>28</v>
      </c>
      <c r="R8" s="6" t="s">
        <v>29</v>
      </c>
      <c r="S8" s="6" t="s">
        <v>30</v>
      </c>
      <c r="T8" s="6" t="s">
        <v>31</v>
      </c>
      <c r="U8" s="8" t="s">
        <v>32</v>
      </c>
      <c r="V8" s="9" t="s">
        <v>33</v>
      </c>
      <c r="W8" s="7" t="s">
        <v>34</v>
      </c>
      <c r="X8" s="7"/>
      <c r="Y8" s="7" t="s">
        <v>21</v>
      </c>
      <c r="Z8" s="7"/>
      <c r="AA8" s="3" t="s">
        <v>35</v>
      </c>
      <c r="AB8" s="3" t="s">
        <v>36</v>
      </c>
      <c r="AC8" s="3" t="s">
        <v>37</v>
      </c>
      <c r="AD8" s="3" t="s">
        <v>38</v>
      </c>
      <c r="AE8" s="3" t="s">
        <v>39</v>
      </c>
      <c r="AF8" s="3" t="s">
        <v>40</v>
      </c>
      <c r="AG8" s="3" t="s">
        <v>41</v>
      </c>
      <c r="AH8" s="3" t="s">
        <v>42</v>
      </c>
      <c r="AI8" s="3" t="s">
        <v>43</v>
      </c>
      <c r="AJ8" s="3" t="s">
        <v>44</v>
      </c>
      <c r="AK8" s="10" t="s">
        <v>45</v>
      </c>
      <c r="AL8" s="10" t="s">
        <v>37</v>
      </c>
      <c r="AM8" s="10" t="s">
        <v>39</v>
      </c>
      <c r="AN8" s="10" t="s">
        <v>46</v>
      </c>
      <c r="AO8" s="10" t="s">
        <v>47</v>
      </c>
      <c r="AP8" s="10" t="s">
        <v>48</v>
      </c>
      <c r="AQ8" s="10" t="s">
        <v>49</v>
      </c>
      <c r="AR8" s="10" t="s">
        <v>50</v>
      </c>
      <c r="AS8" s="10" t="s">
        <v>51</v>
      </c>
      <c r="AT8" s="10" t="s">
        <v>52</v>
      </c>
      <c r="AU8" s="10" t="s">
        <v>53</v>
      </c>
      <c r="AV8" s="10" t="s">
        <v>54</v>
      </c>
      <c r="AW8" s="10" t="s">
        <v>55</v>
      </c>
      <c r="AX8" s="10" t="s">
        <v>56</v>
      </c>
      <c r="AY8" s="10" t="s">
        <v>57</v>
      </c>
      <c r="AZ8" s="10" t="s">
        <v>58</v>
      </c>
      <c r="BA8" s="10" t="s">
        <v>59</v>
      </c>
      <c r="BB8" s="10" t="s">
        <v>60</v>
      </c>
      <c r="BC8" s="3" t="s">
        <v>61</v>
      </c>
      <c r="BD8" s="3" t="s">
        <v>62</v>
      </c>
      <c r="BE8" s="3" t="s">
        <v>63</v>
      </c>
      <c r="BF8" s="3" t="s">
        <v>64</v>
      </c>
      <c r="BG8" s="3" t="s">
        <v>65</v>
      </c>
      <c r="BH8" s="13" t="s">
        <v>66</v>
      </c>
      <c r="BI8" s="14" t="s">
        <v>67</v>
      </c>
    </row>
    <row r="9" spans="1:61">
      <c r="A9" t="s">
        <v>68</v>
      </c>
      <c r="B9" t="s">
        <v>69</v>
      </c>
      <c r="C9" t="s">
        <v>70</v>
      </c>
      <c r="D9" t="s">
        <v>71</v>
      </c>
      <c r="E9" t="s">
        <v>72</v>
      </c>
      <c r="F9">
        <v>123456</v>
      </c>
      <c r="G9" t="s">
        <v>73</v>
      </c>
      <c r="H9" s="19">
        <v>71.260000000000005</v>
      </c>
      <c r="I9" t="s">
        <v>74</v>
      </c>
      <c r="J9" s="19">
        <v>67.679126381486498</v>
      </c>
      <c r="K9" t="s">
        <v>75</v>
      </c>
      <c r="L9" s="20">
        <v>759.19994428455402</v>
      </c>
      <c r="M9" s="20">
        <v>826.81830188605295</v>
      </c>
      <c r="N9" s="21">
        <v>3.6684726304922002</v>
      </c>
      <c r="O9" s="21">
        <v>3.0376171634034801</v>
      </c>
      <c r="P9" s="21">
        <v>3.2956346395984402</v>
      </c>
      <c r="Q9" s="21">
        <v>3.1679397469590298</v>
      </c>
      <c r="R9" s="21">
        <v>3.1459921872866299</v>
      </c>
      <c r="S9" s="21">
        <v>3.1040923006393299</v>
      </c>
      <c r="T9" s="21">
        <v>3.0911232881056399</v>
      </c>
      <c r="U9" s="20">
        <v>649.377847885042</v>
      </c>
      <c r="V9" s="19">
        <v>18.12</v>
      </c>
      <c r="W9" s="19">
        <v>71.260000000000005</v>
      </c>
      <c r="X9" t="s">
        <v>74</v>
      </c>
      <c r="Y9" s="19">
        <v>69</v>
      </c>
      <c r="Z9" t="s">
        <v>74</v>
      </c>
      <c r="AA9" s="22">
        <v>40829</v>
      </c>
      <c r="AB9" s="19"/>
      <c r="AC9" t="s">
        <v>76</v>
      </c>
      <c r="AD9" t="s">
        <v>77</v>
      </c>
      <c r="AE9" t="s">
        <v>78</v>
      </c>
      <c r="AF9" t="s">
        <v>79</v>
      </c>
      <c r="AG9" t="s">
        <v>80</v>
      </c>
      <c r="AH9" t="s">
        <v>81</v>
      </c>
      <c r="AI9" t="s">
        <v>82</v>
      </c>
      <c r="AJ9">
        <v>6.6</v>
      </c>
      <c r="AK9">
        <v>6</v>
      </c>
      <c r="AL9">
        <v>6</v>
      </c>
      <c r="AM9">
        <v>6.8</v>
      </c>
      <c r="AN9">
        <v>5.3</v>
      </c>
      <c r="AO9">
        <v>6</v>
      </c>
      <c r="AP9">
        <v>7.5</v>
      </c>
      <c r="AQ9">
        <v>4.7</v>
      </c>
      <c r="AR9">
        <v>6</v>
      </c>
      <c r="AS9">
        <v>10</v>
      </c>
      <c r="AT9">
        <v>6</v>
      </c>
      <c r="AU9">
        <v>5.3</v>
      </c>
      <c r="AV9">
        <v>5.5</v>
      </c>
      <c r="AW9">
        <v>8.3000000000000007</v>
      </c>
      <c r="AX9">
        <v>8.6999999999999993</v>
      </c>
      <c r="AY9">
        <v>8.5</v>
      </c>
      <c r="AZ9">
        <v>10</v>
      </c>
      <c r="BA9">
        <v>6.9</v>
      </c>
      <c r="BB9">
        <v>6.1</v>
      </c>
      <c r="BC9">
        <v>521.65</v>
      </c>
      <c r="BD9">
        <v>127.73</v>
      </c>
      <c r="BE9">
        <v>109.82</v>
      </c>
      <c r="BF9">
        <v>15584.24</v>
      </c>
      <c r="BG9">
        <v>129.87</v>
      </c>
      <c r="BH9">
        <v>82.14</v>
      </c>
      <c r="BI9">
        <v>278.23</v>
      </c>
    </row>
  </sheetData>
  <mergeCells count="5">
    <mergeCell ref="AC7:AI7"/>
    <mergeCell ref="H7:W7"/>
    <mergeCell ref="Y7:AB7"/>
    <mergeCell ref="AJ7:BB7"/>
    <mergeCell ref="BC7:BI7"/>
  </mergeCells>
  <conditionalFormatting sqref="X1:X1048576 Z1:Z1048576 I1:I1048576">
    <cfRule type="cellIs" dxfId="20" priority="8" operator="equal">
      <formula>"G"</formula>
    </cfRule>
    <cfRule type="cellIs" dxfId="19" priority="9" operator="equal">
      <formula>"F"</formula>
    </cfRule>
    <cfRule type="cellIs" dxfId="18" priority="10" operator="equal">
      <formula>"E"</formula>
    </cfRule>
    <cfRule type="cellIs" dxfId="17" priority="11" operator="equal">
      <formula>"D"</formula>
    </cfRule>
    <cfRule type="cellIs" dxfId="16" priority="12" operator="equal">
      <formula>"C"</formula>
    </cfRule>
    <cfRule type="cellIs" dxfId="15" priority="13" operator="equal">
      <formula>"B"</formula>
    </cfRule>
    <cfRule type="cellIs" dxfId="14" priority="14" operator="equal">
      <formula>"A"</formula>
    </cfRule>
  </conditionalFormatting>
  <conditionalFormatting sqref="K1:K1048576">
    <cfRule type="cellIs" dxfId="13" priority="1" operator="equal">
      <formula>"G"</formula>
    </cfRule>
    <cfRule type="cellIs" dxfId="12" priority="2" operator="equal">
      <formula>"F"</formula>
    </cfRule>
    <cfRule type="cellIs" dxfId="11" priority="3" operator="equal">
      <formula>"E"</formula>
    </cfRule>
    <cfRule type="cellIs" dxfId="10" priority="4" operator="equal">
      <formula>"D"</formula>
    </cfRule>
    <cfRule type="cellIs" dxfId="9" priority="5" operator="equal">
      <formula>"C"</formula>
    </cfRule>
    <cfRule type="cellIs" dxfId="8" priority="6" operator="equal">
      <formula>"B"</formula>
    </cfRule>
    <cfRule type="cellIs" dxfId="7" priority="7" operator="equal">
      <formula>"A"</formula>
    </cfRule>
  </conditionalFormatting>
  <pageMargins left="0.7" right="0.7" top="0.75" bottom="0.75" header="0.3" footer="0.3"/>
  <pageSetup fitToHeight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11"/>
  <sheetViews>
    <sheetView workbookViewId="0">
      <selection activeCell="J18" sqref="J18"/>
    </sheetView>
  </sheetViews>
  <sheetFormatPr defaultRowHeight="15"/>
  <sheetData>
    <row r="2" spans="1:5">
      <c r="A2" s="1" t="s">
        <v>83</v>
      </c>
    </row>
    <row r="4" spans="1:5">
      <c r="B4" s="1" t="s">
        <v>84</v>
      </c>
      <c r="C4">
        <f>COUNTIF(AddressProfilingResults!$I$9:$I$1048576, AdditionalCharts!B4)</f>
        <v>0</v>
      </c>
      <c r="D4" s="11">
        <f>C4/$C$11</f>
        <v>0</v>
      </c>
      <c r="E4" s="11" t="str">
        <f>C4&amp;" ("&amp;TEXT(D4, "#0.00%")&amp;")"</f>
        <v>0 (0.00%)</v>
      </c>
    </row>
    <row r="5" spans="1:5">
      <c r="B5" s="1" t="s">
        <v>85</v>
      </c>
      <c r="C5">
        <f>COUNTIF(AddressProfilingResults!$I$9:$I$1048576, AdditionalCharts!B5)</f>
        <v>0</v>
      </c>
      <c r="D5" s="11">
        <f t="shared" ref="D5:D10" si="0">C5/$C$11</f>
        <v>0</v>
      </c>
      <c r="E5" s="11" t="str">
        <f t="shared" ref="E5:E10" si="1">C5&amp;" ("&amp;TEXT(D5, "#0.00%")&amp;")"</f>
        <v>0 (0.00%)</v>
      </c>
    </row>
    <row r="6" spans="1:5">
      <c r="B6" s="1" t="s">
        <v>74</v>
      </c>
      <c r="C6">
        <f>COUNTIF(AddressProfilingResults!$I$9:$I$1048576, AdditionalCharts!B6)</f>
        <v>1</v>
      </c>
      <c r="D6" s="11">
        <f t="shared" si="0"/>
        <v>1</v>
      </c>
      <c r="E6" s="11" t="str">
        <f t="shared" si="1"/>
        <v>1 (100.00%)</v>
      </c>
    </row>
    <row r="7" spans="1:5">
      <c r="B7" s="1" t="s">
        <v>75</v>
      </c>
      <c r="C7">
        <f>COUNTIF(AddressProfilingResults!$I$9:$I$1048576, AdditionalCharts!B7)</f>
        <v>0</v>
      </c>
      <c r="D7" s="11">
        <f t="shared" si="0"/>
        <v>0</v>
      </c>
      <c r="E7" s="11" t="str">
        <f t="shared" si="1"/>
        <v>0 (0.00%)</v>
      </c>
    </row>
    <row r="8" spans="1:5">
      <c r="B8" s="1" t="s">
        <v>86</v>
      </c>
      <c r="C8">
        <f>COUNTIF(AddressProfilingResults!$I$9:$I$1048576, AdditionalCharts!B8)</f>
        <v>0</v>
      </c>
      <c r="D8" s="11">
        <f t="shared" si="0"/>
        <v>0</v>
      </c>
      <c r="E8" s="11" t="str">
        <f t="shared" si="1"/>
        <v>0 (0.00%)</v>
      </c>
    </row>
    <row r="9" spans="1:5">
      <c r="B9" s="1" t="s">
        <v>87</v>
      </c>
      <c r="C9">
        <f>COUNTIF(AddressProfilingResults!$I$9:$I$1048576, AdditionalCharts!B9)</f>
        <v>0</v>
      </c>
      <c r="D9" s="11">
        <f t="shared" si="0"/>
        <v>0</v>
      </c>
      <c r="E9" s="11" t="str">
        <f t="shared" si="1"/>
        <v>0 (0.00%)</v>
      </c>
    </row>
    <row r="10" spans="1:5" ht="15.75" thickBot="1">
      <c r="B10" s="1" t="s">
        <v>88</v>
      </c>
      <c r="C10">
        <f>COUNTIF(AddressProfilingResults!$I$9:$I$1048576, AdditionalCharts!B10)</f>
        <v>0</v>
      </c>
      <c r="D10" s="11">
        <f t="shared" si="0"/>
        <v>0</v>
      </c>
      <c r="E10" s="11" t="str">
        <f t="shared" si="1"/>
        <v>0 (0.00%)</v>
      </c>
    </row>
    <row r="11" spans="1:5" ht="15.75" thickTop="1">
      <c r="C11" s="12">
        <f>SUM(C4:C10)</f>
        <v>1</v>
      </c>
    </row>
  </sheetData>
  <conditionalFormatting sqref="B4:B10">
    <cfRule type="cellIs" dxfId="6" priority="1" operator="equal">
      <formula>"G"</formula>
    </cfRule>
    <cfRule type="cellIs" dxfId="5" priority="2" operator="equal">
      <formula>"F"</formula>
    </cfRule>
    <cfRule type="cellIs" dxfId="4" priority="3" operator="equal">
      <formula>"E"</formula>
    </cfRule>
    <cfRule type="cellIs" dxfId="3" priority="4" operator="equal">
      <formula>"D"</formula>
    </cfRule>
    <cfRule type="cellIs" dxfId="2" priority="5" operator="equal">
      <formula>"C"</formula>
    </cfRule>
    <cfRule type="cellIs" dxfId="1" priority="6" operator="equal">
      <formula>"B"</formula>
    </cfRule>
    <cfRule type="cellIs" dxfId="0" priority="7" operator="equal">
      <formula>"A"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2F47E84F43D9459377837D0B9C5587" ma:contentTypeVersion="8" ma:contentTypeDescription="Create a new document." ma:contentTypeScope="" ma:versionID="9120dd6b8adbc2cdae90b51f7149df62">
  <xsd:schema xmlns:xsd="http://www.w3.org/2001/XMLSchema" xmlns:xs="http://www.w3.org/2001/XMLSchema" xmlns:p="http://schemas.microsoft.com/office/2006/metadata/properties" xmlns:ns2="bf6d131b-e8a1-4bdc-9471-bbd1a42a4ddd" targetNamespace="http://schemas.microsoft.com/office/2006/metadata/properties" ma:root="true" ma:fieldsID="9ffea06c9fccc4cb62b1d14aedfe08ce" ns2:_="">
    <xsd:import namespace="bf6d131b-e8a1-4bdc-9471-bbd1a42a4d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d131b-e8a1-4bdc-9471-bbd1a42a4d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02d71c6-b587-4f9c-8003-a324681cf8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6d131b-e8a1-4bdc-9471-bbd1a42a4dd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709016-C014-40D4-8E63-905F2A8866E5}"/>
</file>

<file path=customXml/itemProps2.xml><?xml version="1.0" encoding="utf-8"?>
<ds:datastoreItem xmlns:ds="http://schemas.openxmlformats.org/officeDocument/2006/customXml" ds:itemID="{A43FF619-CA86-41A0-838C-D666A1218B8F}"/>
</file>

<file path=customXml/itemProps3.xml><?xml version="1.0" encoding="utf-8"?>
<ds:datastoreItem xmlns:ds="http://schemas.openxmlformats.org/officeDocument/2006/customXml" ds:itemID="{837F6C83-E54E-45EE-B48E-2CDD1130D9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Iftikhar Tabbassum</cp:lastModifiedBy>
  <cp:revision/>
  <dcterms:created xsi:type="dcterms:W3CDTF">2006-09-16T00:00:00Z</dcterms:created>
  <dcterms:modified xsi:type="dcterms:W3CDTF">2026-01-09T16:10:57Z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ContentTypeId">
    <vt:lpwstr>0x010100072F47E84F43D9459377837D0B9C5587</vt:lpwstr>
  </property>
  <property fmtid="{D5CDD505-2E9C-101B-9397-08002B2CF9AE}" pid="5" name="Order">
    <vt:r8>4431800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_SourceUrl">
    <vt:lpwstr/>
  </property>
  <property fmtid="{D5CDD505-2E9C-101B-9397-08002B2CF9AE}" pid="11" name="_SharedFileIndex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MediaServiceImageTags">
    <vt:lpwstr/>
  </property>
</Properties>
</file>